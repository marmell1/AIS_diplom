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акладная ТОРГ-1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<sst xmlns="http://schemas.openxmlformats.org/spreadsheetml/2006/main" count="146" uniqueCount="104">
  <si>
    <t xml:space="preserve">Унифицированная форма № ТОРГ-12</t>
  </si>
  <si>
    <t xml:space="preserve">Утверждена постановлением Госкомстата</t>
  </si>
  <si>
    <t xml:space="preserve">России от 25.12.98 № 132</t>
  </si>
  <si>
    <t xml:space="preserve">Код</t>
  </si>
  <si>
    <t xml:space="preserve">Форма по ОКУД</t>
  </si>
  <si>
    <t xml:space="preserve">0330212</t>
  </si>
  <si>
    <t xml:space="preserve">ИП Ромашка</t>
  </si>
  <si>
    <t xml:space="preserve">по ОКПО</t>
  </si>
  <si>
    <t xml:space="preserve">(организация, грузоотправитель, адрес, номер телефона, факса, банковские реквизиты)</t>
  </si>
  <si>
    <t xml:space="preserve">(структурное подразделение)</t>
  </si>
  <si>
    <t xml:space="preserve">Вид деятельности по ОКДП</t>
  </si>
  <si>
    <t xml:space="preserve">Грузополучатель</t>
  </si>
  <si>
    <t xml:space="preserve">ООО Товарный склад НН</t>
  </si>
  <si>
    <t xml:space="preserve">(наименование организации, адрес, номер телефона, банковские реквизиты)</t>
  </si>
  <si>
    <t xml:space="preserve">Поставщик</t>
  </si>
  <si>
    <t xml:space="preserve">Плательщик</t>
  </si>
  <si>
    <t xml:space="preserve">номер</t>
  </si>
  <si>
    <t xml:space="preserve">Основание</t>
  </si>
  <si>
    <t xml:space="preserve">Договор поставки № 54/2026 от 10.01.2026 </t>
  </si>
  <si>
    <t xml:space="preserve">(наименование документа (договор, контракт, заказ-наряд))</t>
  </si>
  <si>
    <t xml:space="preserve">дата</t>
  </si>
  <si>
    <t xml:space="preserve">Транспортная накладная</t>
  </si>
  <si>
    <t xml:space="preserve">Вид операции</t>
  </si>
  <si>
    <t xml:space="preserve">Номер
документа</t>
  </si>
  <si>
    <t xml:space="preserve">Дата
составления</t>
  </si>
  <si>
    <t xml:space="preserve">ТОВАРНАЯ НАКЛАДНАЯ</t>
  </si>
  <si>
    <t xml:space="preserve">111222</t>
  </si>
  <si>
    <t xml:space="preserve">2026-07-06</t>
  </si>
  <si>
    <t xml:space="preserve">Но- мер по по- рядку</t>
  </si>
  <si>
    <t xml:space="preserve">Товар</t>
  </si>
  <si>
    <t xml:space="preserve">Единица
измерения</t>
  </si>
  <si>
    <t xml:space="preserve">Условия хранения</t>
  </si>
  <si>
    <t xml:space="preserve">Количество</t>
  </si>
  <si>
    <t xml:space="preserve">Изготовитель</t>
  </si>
  <si>
    <t xml:space="preserve">Количест- во
(масса нетто)</t>
  </si>
  <si>
    <t xml:space="preserve">Цена,
руб. коп.</t>
  </si>
  <si>
    <t xml:space="preserve">Сумма без учета НДС, руб. коп.</t>
  </si>
  <si>
    <t xml:space="preserve">НДС</t>
  </si>
  <si>
    <t xml:space="preserve">Сумма с учетом НДС,
руб. коп.</t>
  </si>
  <si>
    <t xml:space="preserve">наименование,
характеристика, сорт, артикул
товара</t>
  </si>
  <si>
    <t xml:space="preserve">код</t>
  </si>
  <si>
    <t xml:space="preserve">наиме- нование</t>
  </si>
  <si>
    <t xml:space="preserve">код по ОКЕИ</t>
  </si>
  <si>
    <t xml:space="preserve">в одном месте</t>
  </si>
  <si>
    <t xml:space="preserve">мест, штук</t>
  </si>
  <si>
    <t xml:space="preserve">ставка, %</t>
  </si>
  <si>
    <t xml:space="preserve">сумма,
руб. коп.</t>
  </si>
  <si>
    <t xml:space="preserve">1</t>
  </si>
  <si>
    <t xml:space="preserve">Вода негазированная 1,5 литра</t>
  </si>
  <si>
    <t xml:space="preserve">а000001</t>
  </si>
  <si>
    <t xml:space="preserve">шт</t>
  </si>
  <si>
    <t xml:space="preserve">1111</t>
  </si>
  <si>
    <t xml:space="preserve">стандартные</t>
  </si>
  <si>
    <t xml:space="preserve">БонАква</t>
  </si>
  <si>
    <t xml:space="preserve">2</t>
  </si>
  <si>
    <t xml:space="preserve">Вода газированная 0,5 литра</t>
  </si>
  <si>
    <t xml:space="preserve">а000002</t>
  </si>
  <si>
    <t xml:space="preserve">1112</t>
  </si>
  <si>
    <t xml:space="preserve">3</t>
  </si>
  <si>
    <t xml:space="preserve">Вода негазированная 5 литров</t>
  </si>
  <si>
    <t xml:space="preserve">а000007</t>
  </si>
  <si>
    <t xml:space="preserve">1113</t>
  </si>
  <si>
    <t xml:space="preserve">4</t>
  </si>
  <si>
    <t xml:space="preserve">Вода негазированная 20 литров</t>
  </si>
  <si>
    <t xml:space="preserve">а000008</t>
  </si>
  <si>
    <t xml:space="preserve">1114</t>
  </si>
  <si>
    <t xml:space="preserve">5</t>
  </si>
  <si>
    <t xml:space="preserve">Лимонад Буратино 1,5 литра</t>
  </si>
  <si>
    <t xml:space="preserve">а000009</t>
  </si>
  <si>
    <t xml:space="preserve">1115</t>
  </si>
  <si>
    <t xml:space="preserve">Черноголовка</t>
  </si>
  <si>
    <t xml:space="preserve">Итого</t>
  </si>
  <si>
    <t xml:space="preserve">Х</t>
  </si>
  <si>
    <t xml:space="preserve">Всего по накладной</t>
  </si>
  <si>
    <t xml:space="preserve">Товарная накладная имеет приложение на</t>
  </si>
  <si>
    <t xml:space="preserve">листах</t>
  </si>
  <si>
    <t xml:space="preserve">и содержит</t>
  </si>
  <si>
    <t xml:space="preserve">пять</t>
  </si>
  <si>
    <t xml:space="preserve">порядковых номеров записей</t>
  </si>
  <si>
    <t xml:space="preserve">(прописью)</t>
  </si>
  <si>
    <t xml:space="preserve">Масса груза (нетто)</t>
  </si>
  <si>
    <t xml:space="preserve">145 кг</t>
  </si>
  <si>
    <t xml:space="preserve">Всего мест</t>
  </si>
  <si>
    <t xml:space="preserve">Масса груза (брутто)</t>
  </si>
  <si>
    <t xml:space="preserve">145 кг4</t>
  </si>
  <si>
    <t xml:space="preserve">Приложение (паспорта, сертификаты и т.п.) на</t>
  </si>
  <si>
    <t xml:space="preserve">По доверенности №</t>
  </si>
  <si>
    <t xml:space="preserve">от  «</t>
  </si>
  <si>
    <t xml:space="preserve">»</t>
  </si>
  <si>
    <t xml:space="preserve">года,</t>
  </si>
  <si>
    <t xml:space="preserve">Всего отпущено на сумму</t>
  </si>
  <si>
    <t xml:space="preserve">выданной</t>
  </si>
  <si>
    <t xml:space="preserve">(кем, кому (организация, место работы, должность, фамилия, и., о.))</t>
  </si>
  <si>
    <t xml:space="preserve">руб.</t>
  </si>
  <si>
    <t xml:space="preserve">коп.</t>
  </si>
  <si>
    <t xml:space="preserve">Отпуск разрешил</t>
  </si>
  <si>
    <t xml:space="preserve">(должность)</t>
  </si>
  <si>
    <t xml:space="preserve">(подпись)</t>
  </si>
  <si>
    <t xml:space="preserve">(расшифровка подписи)</t>
  </si>
  <si>
    <t xml:space="preserve">Главный (старший) бухгалтер</t>
  </si>
  <si>
    <t xml:space="preserve">Груз принял</t>
  </si>
  <si>
    <t xml:space="preserve">Отпуск груза произвел</t>
  </si>
  <si>
    <t xml:space="preserve">Груз получил грузополучатель</t>
  </si>
  <si>
    <t xml:space="preserve">М.П.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</si>
</sst>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3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Arial"/>
      <family val="2"/>
      <charset val="204"/>
    </font>
    <font>
      <sz val="6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8.5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2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048576"/>
  <sheetViews>
    <sheetView showFormulas="false" showGridLines="false" showRowColHeaders="true" showZeros="false" rightToLeft="false" tabSelected="true" showOutlineSymbols="true" defaultGridColor="true" view="pageBreakPreview" topLeftCell="A4" colorId="64" zoomScale="95" zoomScaleNormal="100" zoomScalePageLayoutView="95" workbookViewId="0">
      <selection pane="topLeft" activeCell="BX28" activeCellId="0" sqref="BX28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.7"/>
    <col collapsed="false" customWidth="true" hidden="false" outlineLevel="0" max="81" min="2" style="1" width="1.41"/>
    <col collapsed="false" customWidth="true" hidden="false" outlineLevel="0" max="82" min="82" style="1" width="1.85"/>
    <col collapsed="false" customWidth="true" hidden="false" outlineLevel="0" max="83" min="83" style="1" width="0.85"/>
    <col collapsed="false" customWidth="true" hidden="false" outlineLevel="0" max="84" min="84" style="1" width="1.41"/>
    <col collapsed="false" customWidth="true" hidden="false" outlineLevel="0" max="85" min="85" style="1" width="2.56"/>
    <col collapsed="false" customWidth="true" hidden="false" outlineLevel="0" max="86" min="86" style="1" width="1.41"/>
    <col collapsed="false" customWidth="true" hidden="false" outlineLevel="0" max="87" min="87" style="1" width="0.99"/>
    <col collapsed="false" customWidth="true" hidden="false" outlineLevel="0" max="90" min="88" style="1" width="1.41"/>
    <col collapsed="false" customWidth="true" hidden="false" outlineLevel="0" max="91" min="91" style="1" width="1.12"/>
    <col collapsed="false" customWidth="true" hidden="false" outlineLevel="0" max="95" min="92" style="1" width="1.41"/>
    <col collapsed="false" customWidth="false" hidden="false" outlineLevel="0" max="257" min="96" style="1" width="9.14"/>
  </cols>
  <sheetData>
    <row r="1" customFormat="false" ht="11.25" hidden="false" customHeight="true" outlineLevel="0" collapsed="false">
      <c r="BW1" s="2" t="s">
        <v>0</v>
      </c>
    </row>
    <row r="2" customFormat="false" ht="10.5" hidden="false" customHeight="true" outlineLevel="0" collapsed="false">
      <c r="BW2" s="3" t="s">
        <v>1</v>
      </c>
    </row>
    <row r="3" customFormat="false" ht="10.5" hidden="false" customHeight="true" outlineLevel="0" collapsed="false">
      <c r="BW3" s="2" t="s">
        <v>2</v>
      </c>
    </row>
    <row r="4" customFormat="false" ht="6" hidden="false" customHeight="true" outlineLevel="0" collapsed="false"/>
    <row r="5" customFormat="false" ht="14.25" hidden="false" customHeight="true" outlineLevel="0" collapsed="false">
      <c r="CF5" s="4" t="s">
        <v>3</v>
      </c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</row>
    <row r="6" customFormat="false" ht="15.75" hidden="false" customHeight="true" outlineLevel="0" collapsed="false">
      <c r="CD6" s="5" t="s">
        <v>4</v>
      </c>
      <c r="CF6" s="6" t="s">
        <v>5</v>
      </c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</row>
    <row r="7" customFormat="false" ht="15.75" hidden="false" customHeight="true" outlineLevel="0" collapsed="false">
      <c r="A7" s="7" t="s">
        <v>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CD7" s="5" t="s">
        <v>7</v>
      </c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</row>
    <row r="8" customFormat="false" ht="8.25" hidden="false" customHeight="true" outlineLevel="0" collapsed="false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CD8" s="10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</row>
    <row r="9" customFormat="false" ht="10.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</row>
    <row r="10" customFormat="false" ht="7.5" hidden="false" customHeight="true" outlineLevel="0" collapsed="false">
      <c r="A10" s="9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12" t="s">
        <v>10</v>
      </c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3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</row>
    <row r="11" customFormat="false" ht="9" hidden="false" customHeight="true" outlineLevel="0" collapsed="false"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</row>
    <row r="12" customFormat="false" ht="17.25" hidden="false" customHeight="true" outlineLevel="0" collapsed="false">
      <c r="B12" s="14" t="s">
        <v>11</v>
      </c>
      <c r="L12" s="7" t="s">
        <v>12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14"/>
      <c r="BZ12" s="14"/>
      <c r="CA12" s="14"/>
      <c r="CB12" s="14"/>
      <c r="CC12" s="14"/>
      <c r="CD12" s="5" t="s">
        <v>7</v>
      </c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</row>
    <row r="13" customFormat="false" ht="8.25" hidden="false" customHeight="true" outlineLevel="0" collapsed="false">
      <c r="B13" s="14"/>
      <c r="L13" s="9" t="s">
        <v>13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14"/>
      <c r="BZ13" s="14"/>
      <c r="CA13" s="14"/>
      <c r="CB13" s="14"/>
      <c r="CC13" s="14"/>
      <c r="CD13" s="5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</row>
    <row r="14" customFormat="false" ht="11.25" hidden="false" customHeight="true" outlineLevel="0" collapsed="false">
      <c r="B14" s="14" t="s">
        <v>14</v>
      </c>
      <c r="I14" s="15" t="s">
        <v>6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4"/>
      <c r="BZ14" s="14"/>
      <c r="CA14" s="14"/>
      <c r="CB14" s="14"/>
      <c r="CC14" s="14"/>
      <c r="CD14" s="5" t="s">
        <v>7</v>
      </c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</row>
    <row r="15" customFormat="false" ht="8.25" hidden="false" customHeight="true" outlineLevel="0" collapsed="false">
      <c r="B15" s="14"/>
      <c r="L15" s="9" t="s">
        <v>13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14"/>
      <c r="BZ15" s="14"/>
      <c r="CA15" s="14"/>
      <c r="CB15" s="14"/>
      <c r="CC15" s="14"/>
      <c r="CD15" s="5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</row>
    <row r="16" customFormat="false" ht="11.25" hidden="false" customHeight="true" outlineLevel="0" collapsed="false">
      <c r="B16" s="14" t="s">
        <v>15</v>
      </c>
      <c r="I16" s="15" t="s">
        <v>12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4"/>
      <c r="BZ16" s="14"/>
      <c r="CA16" s="14"/>
      <c r="CB16" s="14"/>
      <c r="CC16" s="14"/>
      <c r="CD16" s="5" t="s">
        <v>7</v>
      </c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</row>
    <row r="17" customFormat="false" ht="8.25" hidden="false" customHeight="true" outlineLevel="0" collapsed="false">
      <c r="B17" s="14"/>
      <c r="J17" s="13"/>
      <c r="L17" s="16" t="s">
        <v>13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7" t="s">
        <v>16</v>
      </c>
      <c r="BZ17" s="17"/>
      <c r="CA17" s="17"/>
      <c r="CB17" s="17"/>
      <c r="CC17" s="17"/>
      <c r="CD17" s="17"/>
      <c r="CE17" s="1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</row>
    <row r="18" customFormat="false" ht="10.5" hidden="false" customHeight="true" outlineLevel="0" collapsed="false">
      <c r="B18" s="14" t="s">
        <v>17</v>
      </c>
      <c r="I18" s="19" t="s">
        <v>18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7"/>
      <c r="BZ18" s="17"/>
      <c r="CA18" s="17"/>
      <c r="CB18" s="17"/>
      <c r="CC18" s="17"/>
      <c r="CD18" s="17"/>
      <c r="CE18" s="20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</row>
    <row r="19" customFormat="false" ht="7.5" hidden="false" customHeight="true" outlineLevel="0" collapsed="false">
      <c r="J19" s="13"/>
      <c r="K19" s="13"/>
      <c r="L19" s="16" t="s">
        <v>19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7" t="s">
        <v>20</v>
      </c>
      <c r="BZ19" s="17"/>
      <c r="CA19" s="17"/>
      <c r="CB19" s="17"/>
      <c r="CC19" s="17"/>
      <c r="CD19" s="17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</row>
    <row r="20" customFormat="false" ht="10.5" hidden="false" customHeight="true" outlineLevel="0" collapsed="false">
      <c r="Z20" s="21"/>
      <c r="BY20" s="17"/>
      <c r="BZ20" s="17"/>
      <c r="CA20" s="17"/>
      <c r="CB20" s="17"/>
      <c r="CC20" s="17"/>
      <c r="CD20" s="17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</row>
    <row r="21" customFormat="false" ht="15.75" hidden="false" customHeight="true" outlineLevel="0" collapsed="false">
      <c r="BL21" s="22" t="s">
        <v>21</v>
      </c>
      <c r="BY21" s="17" t="s">
        <v>16</v>
      </c>
      <c r="BZ21" s="17"/>
      <c r="CA21" s="17"/>
      <c r="CB21" s="17"/>
      <c r="CC21" s="17"/>
      <c r="CD21" s="17"/>
      <c r="CE21" s="23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</row>
    <row r="22" customFormat="false" ht="15.75" hidden="false" customHeight="true" outlineLevel="0" collapsed="false">
      <c r="BY22" s="17" t="s">
        <v>20</v>
      </c>
      <c r="BZ22" s="17"/>
      <c r="CA22" s="17"/>
      <c r="CB22" s="17"/>
      <c r="CC22" s="17"/>
      <c r="CD22" s="17"/>
      <c r="CE22" s="23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</row>
    <row r="23" customFormat="false" ht="15.75" hidden="false" customHeight="true" outlineLevel="0" collapsed="false">
      <c r="BY23" s="14"/>
      <c r="BZ23" s="14"/>
      <c r="CA23" s="14"/>
      <c r="CB23" s="14"/>
      <c r="CC23" s="14"/>
      <c r="CD23" s="5" t="s">
        <v>22</v>
      </c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</row>
    <row r="25" s="14" customFormat="true" ht="26.25" hidden="false" customHeight="true" outlineLevel="0" collapsed="false">
      <c r="AX25" s="25" t="s">
        <v>23</v>
      </c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 t="s">
        <v>24</v>
      </c>
      <c r="BJ25" s="25"/>
      <c r="BK25" s="25"/>
      <c r="BL25" s="25"/>
      <c r="BM25" s="25"/>
      <c r="BN25" s="25"/>
      <c r="BO25" s="25"/>
      <c r="BP25" s="25"/>
      <c r="BQ25" s="25"/>
      <c r="BR25" s="25"/>
      <c r="BS25" s="25"/>
    </row>
    <row r="26" s="14" customFormat="true" ht="15" hidden="false" customHeight="false" outlineLevel="0" collapsed="false">
      <c r="AD26" s="26" t="s">
        <v>25</v>
      </c>
      <c r="AX26" s="27" t="s">
        <v>26</v>
      </c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8" t="s">
        <v>27</v>
      </c>
      <c r="BJ26" s="28"/>
      <c r="BK26" s="28"/>
      <c r="BL26" s="28"/>
      <c r="BM26" s="28"/>
      <c r="BN26" s="28"/>
      <c r="BO26" s="28"/>
      <c r="BP26" s="28"/>
      <c r="BQ26" s="28"/>
      <c r="BR26" s="28"/>
      <c r="BS26" s="28"/>
    </row>
    <row r="27" s="14" customFormat="true" ht="12" hidden="false" customHeight="true" outlineLevel="0" collapsed="false"/>
    <row r="28" s="33" customFormat="true" ht="26.25" hidden="false" customHeight="true" outlineLevel="0" collapsed="false">
      <c r="A28" s="29" t="s">
        <v>28</v>
      </c>
      <c r="B28" s="29"/>
      <c r="C28" s="29"/>
      <c r="D28" s="30" t="s">
        <v>29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1" t="s">
        <v>30</v>
      </c>
      <c r="Y28" s="31"/>
      <c r="Z28" s="31"/>
      <c r="AA28" s="31"/>
      <c r="AB28" s="31"/>
      <c r="AC28" s="31"/>
      <c r="AD28" s="31"/>
      <c r="AE28" s="31"/>
      <c r="AF28" s="31"/>
      <c r="AG28" s="31"/>
      <c r="AH28" s="32" t="s">
        <v>31</v>
      </c>
      <c r="AI28" s="32"/>
      <c r="AJ28" s="32"/>
      <c r="AK28" s="32"/>
      <c r="AL28" s="32"/>
      <c r="AM28" s="32" t="s">
        <v>32</v>
      </c>
      <c r="AN28" s="32"/>
      <c r="AO28" s="32"/>
      <c r="AP28" s="32"/>
      <c r="AQ28" s="32"/>
      <c r="AR28" s="32"/>
      <c r="AS28" s="32"/>
      <c r="AT28" s="32"/>
      <c r="AU28" s="32"/>
      <c r="AV28" s="32"/>
      <c r="AW28" s="32" t="s">
        <v>33</v>
      </c>
      <c r="AX28" s="32"/>
      <c r="AY28" s="32"/>
      <c r="AZ28" s="32"/>
      <c r="BA28" s="32"/>
      <c r="BB28" s="32" t="s">
        <v>34</v>
      </c>
      <c r="BC28" s="32"/>
      <c r="BD28" s="32"/>
      <c r="BE28" s="32"/>
      <c r="BF28" s="32"/>
      <c r="BG28" s="32"/>
      <c r="BH28" s="32" t="s">
        <v>35</v>
      </c>
      <c r="BI28" s="32"/>
      <c r="BJ28" s="32"/>
      <c r="BK28" s="32"/>
      <c r="BL28" s="32"/>
      <c r="BM28" s="32"/>
      <c r="BN28" s="32"/>
      <c r="BO28" s="32"/>
      <c r="BP28" s="32"/>
      <c r="BQ28" s="32" t="s">
        <v>36</v>
      </c>
      <c r="BR28" s="32"/>
      <c r="BS28" s="32"/>
      <c r="BT28" s="32"/>
      <c r="BU28" s="32"/>
      <c r="BV28" s="32"/>
      <c r="BW28" s="32"/>
      <c r="BX28" s="32" t="s">
        <v>37</v>
      </c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 t="s">
        <v>38</v>
      </c>
      <c r="CJ28" s="32"/>
      <c r="CK28" s="32"/>
      <c r="CL28" s="32"/>
      <c r="CM28" s="32"/>
      <c r="CN28" s="32"/>
      <c r="CO28" s="32"/>
      <c r="CP28" s="32"/>
      <c r="CQ28" s="32"/>
    </row>
    <row r="29" s="33" customFormat="true" ht="33.75" hidden="false" customHeight="true" outlineLevel="0" collapsed="false">
      <c r="A29" s="29"/>
      <c r="B29" s="29"/>
      <c r="C29" s="29"/>
      <c r="D29" s="32" t="s">
        <v>39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0" t="s">
        <v>40</v>
      </c>
      <c r="U29" s="30"/>
      <c r="V29" s="30"/>
      <c r="W29" s="30"/>
      <c r="X29" s="32" t="s">
        <v>41</v>
      </c>
      <c r="Y29" s="32"/>
      <c r="Z29" s="32"/>
      <c r="AA29" s="32"/>
      <c r="AB29" s="32"/>
      <c r="AC29" s="34" t="s">
        <v>42</v>
      </c>
      <c r="AD29" s="34"/>
      <c r="AE29" s="34"/>
      <c r="AF29" s="34"/>
      <c r="AG29" s="34"/>
      <c r="AH29" s="32"/>
      <c r="AI29" s="32"/>
      <c r="AJ29" s="32"/>
      <c r="AK29" s="32"/>
      <c r="AL29" s="32"/>
      <c r="AM29" s="32" t="s">
        <v>43</v>
      </c>
      <c r="AN29" s="32"/>
      <c r="AO29" s="32"/>
      <c r="AP29" s="32"/>
      <c r="AQ29" s="32"/>
      <c r="AR29" s="32" t="s">
        <v>44</v>
      </c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5" t="s">
        <v>45</v>
      </c>
      <c r="BY29" s="35"/>
      <c r="BZ29" s="35"/>
      <c r="CA29" s="35"/>
      <c r="CB29" s="35" t="s">
        <v>46</v>
      </c>
      <c r="CC29" s="35"/>
      <c r="CD29" s="35"/>
      <c r="CE29" s="35"/>
      <c r="CF29" s="35"/>
      <c r="CG29" s="35"/>
      <c r="CH29" s="35"/>
      <c r="CI29" s="32"/>
      <c r="CJ29" s="32"/>
      <c r="CK29" s="32"/>
      <c r="CL29" s="32"/>
      <c r="CM29" s="32"/>
      <c r="CN29" s="32"/>
      <c r="CO29" s="32"/>
      <c r="CP29" s="32"/>
      <c r="CQ29" s="32"/>
    </row>
    <row r="30" s="38" customFormat="true" ht="12.75" hidden="false" customHeight="false" outlineLevel="0" collapsed="false">
      <c r="A30" s="36" t="n">
        <v>1</v>
      </c>
      <c r="B30" s="36"/>
      <c r="C30" s="36"/>
      <c r="D30" s="36" t="n">
        <v>2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7" t="n">
        <v>3</v>
      </c>
      <c r="U30" s="37"/>
      <c r="V30" s="37"/>
      <c r="W30" s="37"/>
      <c r="X30" s="36" t="n">
        <v>4</v>
      </c>
      <c r="Y30" s="36"/>
      <c r="Z30" s="36"/>
      <c r="AA30" s="36"/>
      <c r="AB30" s="36"/>
      <c r="AC30" s="37" t="n">
        <v>5</v>
      </c>
      <c r="AD30" s="37"/>
      <c r="AE30" s="37"/>
      <c r="AF30" s="37"/>
      <c r="AG30" s="37"/>
      <c r="AH30" s="37" t="n">
        <v>6</v>
      </c>
      <c r="AI30" s="37"/>
      <c r="AJ30" s="37"/>
      <c r="AK30" s="37"/>
      <c r="AL30" s="37"/>
      <c r="AM30" s="37" t="n">
        <v>7</v>
      </c>
      <c r="AN30" s="37"/>
      <c r="AO30" s="37"/>
      <c r="AP30" s="37"/>
      <c r="AQ30" s="37"/>
      <c r="AR30" s="37" t="n">
        <v>8</v>
      </c>
      <c r="AS30" s="37"/>
      <c r="AT30" s="37"/>
      <c r="AU30" s="37"/>
      <c r="AV30" s="37"/>
      <c r="AW30" s="37" t="n">
        <v>9</v>
      </c>
      <c r="AX30" s="37"/>
      <c r="AY30" s="37"/>
      <c r="AZ30" s="37"/>
      <c r="BA30" s="37"/>
      <c r="BB30" s="37" t="n">
        <v>10</v>
      </c>
      <c r="BC30" s="37"/>
      <c r="BD30" s="37"/>
      <c r="BE30" s="37"/>
      <c r="BF30" s="37"/>
      <c r="BG30" s="37"/>
      <c r="BH30" s="37" t="n">
        <v>11</v>
      </c>
      <c r="BI30" s="37"/>
      <c r="BJ30" s="37"/>
      <c r="BK30" s="37"/>
      <c r="BL30" s="37"/>
      <c r="BM30" s="37"/>
      <c r="BN30" s="37"/>
      <c r="BO30" s="37"/>
      <c r="BP30" s="37"/>
      <c r="BQ30" s="37" t="n">
        <v>12</v>
      </c>
      <c r="BR30" s="37"/>
      <c r="BS30" s="37"/>
      <c r="BT30" s="37"/>
      <c r="BU30" s="37"/>
      <c r="BV30" s="37"/>
      <c r="BW30" s="37"/>
      <c r="BX30" s="36" t="n">
        <v>13</v>
      </c>
      <c r="BY30" s="36"/>
      <c r="BZ30" s="36"/>
      <c r="CA30" s="36"/>
      <c r="CB30" s="37" t="n">
        <v>14</v>
      </c>
      <c r="CC30" s="37"/>
      <c r="CD30" s="37"/>
      <c r="CE30" s="37"/>
      <c r="CF30" s="37"/>
      <c r="CG30" s="37"/>
      <c r="CH30" s="37"/>
      <c r="CI30" s="37" t="n">
        <v>15</v>
      </c>
      <c r="CJ30" s="37"/>
      <c r="CK30" s="37"/>
      <c r="CL30" s="37"/>
      <c r="CM30" s="37"/>
      <c r="CN30" s="37"/>
      <c r="CO30" s="37"/>
      <c r="CP30" s="37"/>
      <c r="CQ30" s="37"/>
    </row>
    <row r="31" s="49" customFormat="true" ht="12" hidden="false" customHeight="true" outlineLevel="0" collapsed="false">
      <c r="A31" s="39" t="s">
        <v>47</v>
      </c>
      <c r="B31" s="39"/>
      <c r="C31" s="39"/>
      <c r="D31" s="40" t="s">
        <v>48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1" t="s">
        <v>49</v>
      </c>
      <c r="U31" s="41"/>
      <c r="V31" s="41"/>
      <c r="W31" s="41"/>
      <c r="X31" s="42" t="s">
        <v>50</v>
      </c>
      <c r="Y31" s="42"/>
      <c r="Z31" s="42"/>
      <c r="AA31" s="42"/>
      <c r="AB31" s="42"/>
      <c r="AC31" s="43" t="s">
        <v>51</v>
      </c>
      <c r="AD31" s="43"/>
      <c r="AE31" s="43"/>
      <c r="AF31" s="43"/>
      <c r="AG31" s="43"/>
      <c r="AH31" s="44" t="s">
        <v>52</v>
      </c>
      <c r="AI31" s="44"/>
      <c r="AJ31" s="44"/>
      <c r="AK31" s="44"/>
      <c r="AL31" s="44"/>
      <c r="AM31" s="44" t="n">
        <v>6</v>
      </c>
      <c r="AN31" s="44"/>
      <c r="AO31" s="44"/>
      <c r="AP31" s="44"/>
      <c r="AQ31" s="44"/>
      <c r="AR31" s="44" t="n">
        <v>10</v>
      </c>
      <c r="AS31" s="44"/>
      <c r="AT31" s="44"/>
      <c r="AU31" s="44"/>
      <c r="AV31" s="44"/>
      <c r="AW31" s="44" t="s">
        <v>53</v>
      </c>
      <c r="AX31" s="44"/>
      <c r="AY31" s="44"/>
      <c r="AZ31" s="44"/>
      <c r="BA31" s="44"/>
      <c r="BB31" s="44" t="n">
        <v>60</v>
      </c>
      <c r="BC31" s="44"/>
      <c r="BD31" s="44"/>
      <c r="BE31" s="44"/>
      <c r="BF31" s="44"/>
      <c r="BG31" s="44"/>
      <c r="BH31" s="44" t="n">
        <v>80</v>
      </c>
      <c r="BI31" s="44"/>
      <c r="BJ31" s="44"/>
      <c r="BK31" s="44"/>
      <c r="BL31" s="44"/>
      <c r="BM31" s="44"/>
      <c r="BN31" s="44"/>
      <c r="BO31" s="44"/>
      <c r="BP31" s="44"/>
      <c r="BQ31" s="45" t="n">
        <v>4800</v>
      </c>
      <c r="BR31" s="45"/>
      <c r="BS31" s="45"/>
      <c r="BT31" s="45"/>
      <c r="BU31" s="45"/>
      <c r="BV31" s="45"/>
      <c r="BW31" s="45"/>
      <c r="BX31" s="46" t="n">
        <v>0.22</v>
      </c>
      <c r="BY31" s="46"/>
      <c r="BZ31" s="46"/>
      <c r="CA31" s="46"/>
      <c r="CB31" s="47" t="n">
        <f aca="false">4800*0.22</f>
        <v>1056</v>
      </c>
      <c r="CC31" s="47"/>
      <c r="CD31" s="47"/>
      <c r="CE31" s="47"/>
      <c r="CF31" s="47"/>
      <c r="CG31" s="47"/>
      <c r="CH31" s="47"/>
      <c r="CI31" s="48" t="n">
        <f aca="false">BQ31+CB31</f>
        <v>5856</v>
      </c>
      <c r="CJ31" s="48"/>
      <c r="CK31" s="48"/>
      <c r="CL31" s="48"/>
      <c r="CM31" s="48"/>
      <c r="CN31" s="48"/>
      <c r="CO31" s="48"/>
      <c r="CP31" s="48"/>
      <c r="CQ31" s="48"/>
    </row>
    <row r="32" s="49" customFormat="true" ht="12" hidden="false" customHeight="true" outlineLevel="0" collapsed="false">
      <c r="A32" s="39" t="s">
        <v>54</v>
      </c>
      <c r="B32" s="39"/>
      <c r="C32" s="39"/>
      <c r="D32" s="40" t="s">
        <v>55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50" t="s">
        <v>56</v>
      </c>
      <c r="U32" s="50"/>
      <c r="V32" s="50"/>
      <c r="W32" s="50"/>
      <c r="X32" s="42" t="s">
        <v>50</v>
      </c>
      <c r="Y32" s="42"/>
      <c r="Z32" s="42"/>
      <c r="AA32" s="42"/>
      <c r="AB32" s="42"/>
      <c r="AC32" s="51" t="s">
        <v>57</v>
      </c>
      <c r="AD32" s="51"/>
      <c r="AE32" s="51"/>
      <c r="AF32" s="51"/>
      <c r="AG32" s="51"/>
      <c r="AH32" s="52" t="s">
        <v>52</v>
      </c>
      <c r="AI32" s="52"/>
      <c r="AJ32" s="52"/>
      <c r="AK32" s="52"/>
      <c r="AL32" s="52"/>
      <c r="AM32" s="52" t="n">
        <v>12</v>
      </c>
      <c r="AN32" s="52"/>
      <c r="AO32" s="52"/>
      <c r="AP32" s="52"/>
      <c r="AQ32" s="52"/>
      <c r="AR32" s="52" t="n">
        <v>2</v>
      </c>
      <c r="AS32" s="52"/>
      <c r="AT32" s="52"/>
      <c r="AU32" s="52"/>
      <c r="AV32" s="52"/>
      <c r="AW32" s="52" t="s">
        <v>53</v>
      </c>
      <c r="AX32" s="52"/>
      <c r="AY32" s="52"/>
      <c r="AZ32" s="52"/>
      <c r="BA32" s="52"/>
      <c r="BB32" s="52" t="n">
        <v>24</v>
      </c>
      <c r="BC32" s="52"/>
      <c r="BD32" s="52"/>
      <c r="BE32" s="52"/>
      <c r="BF32" s="52"/>
      <c r="BG32" s="52"/>
      <c r="BH32" s="52" t="n">
        <v>50</v>
      </c>
      <c r="BI32" s="52"/>
      <c r="BJ32" s="52"/>
      <c r="BK32" s="52"/>
      <c r="BL32" s="52"/>
      <c r="BM32" s="52"/>
      <c r="BN32" s="52"/>
      <c r="BO32" s="52"/>
      <c r="BP32" s="52"/>
      <c r="BQ32" s="53" t="n">
        <f aca="false">50*24</f>
        <v>1200</v>
      </c>
      <c r="BR32" s="53"/>
      <c r="BS32" s="53"/>
      <c r="BT32" s="53"/>
      <c r="BU32" s="53"/>
      <c r="BV32" s="53"/>
      <c r="BW32" s="53"/>
      <c r="BX32" s="46" t="n">
        <v>0.22</v>
      </c>
      <c r="BY32" s="46"/>
      <c r="BZ32" s="46"/>
      <c r="CA32" s="46"/>
      <c r="CB32" s="54" t="n">
        <f aca="false">1200*0.22</f>
        <v>264</v>
      </c>
      <c r="CC32" s="54"/>
      <c r="CD32" s="54"/>
      <c r="CE32" s="54"/>
      <c r="CF32" s="54"/>
      <c r="CG32" s="54"/>
      <c r="CH32" s="54"/>
      <c r="CI32" s="53" t="n">
        <f aca="false">CB32+BQ32</f>
        <v>1464</v>
      </c>
      <c r="CJ32" s="53"/>
      <c r="CK32" s="53"/>
      <c r="CL32" s="53"/>
      <c r="CM32" s="53"/>
      <c r="CN32" s="53"/>
      <c r="CO32" s="53"/>
      <c r="CP32" s="53"/>
      <c r="CQ32" s="53"/>
    </row>
    <row r="33" s="49" customFormat="true" ht="12" hidden="false" customHeight="true" outlineLevel="0" collapsed="false">
      <c r="A33" s="39" t="s">
        <v>58</v>
      </c>
      <c r="B33" s="39"/>
      <c r="C33" s="39"/>
      <c r="D33" s="40" t="s">
        <v>59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50" t="s">
        <v>60</v>
      </c>
      <c r="U33" s="50"/>
      <c r="V33" s="50"/>
      <c r="W33" s="50"/>
      <c r="X33" s="42" t="s">
        <v>50</v>
      </c>
      <c r="Y33" s="42"/>
      <c r="Z33" s="42"/>
      <c r="AA33" s="42"/>
      <c r="AB33" s="42"/>
      <c r="AC33" s="51" t="s">
        <v>61</v>
      </c>
      <c r="AD33" s="51"/>
      <c r="AE33" s="51"/>
      <c r="AF33" s="51"/>
      <c r="AG33" s="51"/>
      <c r="AH33" s="52" t="s">
        <v>52</v>
      </c>
      <c r="AI33" s="52"/>
      <c r="AJ33" s="52"/>
      <c r="AK33" s="52"/>
      <c r="AL33" s="52"/>
      <c r="AM33" s="52" t="n">
        <v>2</v>
      </c>
      <c r="AN33" s="52"/>
      <c r="AO33" s="52"/>
      <c r="AP33" s="52"/>
      <c r="AQ33" s="52"/>
      <c r="AR33" s="52" t="n">
        <v>5</v>
      </c>
      <c r="AS33" s="52"/>
      <c r="AT33" s="52"/>
      <c r="AU33" s="52"/>
      <c r="AV33" s="52"/>
      <c r="AW33" s="52" t="s">
        <v>53</v>
      </c>
      <c r="AX33" s="52"/>
      <c r="AY33" s="52"/>
      <c r="AZ33" s="52"/>
      <c r="BA33" s="52"/>
      <c r="BB33" s="52" t="n">
        <v>10</v>
      </c>
      <c r="BC33" s="52"/>
      <c r="BD33" s="52"/>
      <c r="BE33" s="52"/>
      <c r="BF33" s="52"/>
      <c r="BG33" s="52"/>
      <c r="BH33" s="52" t="n">
        <v>200</v>
      </c>
      <c r="BI33" s="52"/>
      <c r="BJ33" s="52"/>
      <c r="BK33" s="52"/>
      <c r="BL33" s="52"/>
      <c r="BM33" s="52"/>
      <c r="BN33" s="52"/>
      <c r="BO33" s="52"/>
      <c r="BP33" s="52"/>
      <c r="BQ33" s="53" t="n">
        <v>2000</v>
      </c>
      <c r="BR33" s="53"/>
      <c r="BS33" s="53"/>
      <c r="BT33" s="53"/>
      <c r="BU33" s="53"/>
      <c r="BV33" s="53"/>
      <c r="BW33" s="53"/>
      <c r="BX33" s="46" t="n">
        <v>0.22</v>
      </c>
      <c r="BY33" s="46"/>
      <c r="BZ33" s="46"/>
      <c r="CA33" s="46"/>
      <c r="CB33" s="54" t="n">
        <f aca="false">2000*0.22</f>
        <v>440</v>
      </c>
      <c r="CC33" s="54"/>
      <c r="CD33" s="54"/>
      <c r="CE33" s="54"/>
      <c r="CF33" s="54"/>
      <c r="CG33" s="54"/>
      <c r="CH33" s="54"/>
      <c r="CI33" s="53" t="n">
        <f aca="false">CB33+BQ33</f>
        <v>2440</v>
      </c>
      <c r="CJ33" s="53"/>
      <c r="CK33" s="53"/>
      <c r="CL33" s="53"/>
      <c r="CM33" s="53"/>
      <c r="CN33" s="53"/>
      <c r="CO33" s="53"/>
      <c r="CP33" s="53"/>
      <c r="CQ33" s="53"/>
    </row>
    <row r="34" s="49" customFormat="true" ht="12" hidden="false" customHeight="true" outlineLevel="0" collapsed="false">
      <c r="A34" s="39" t="s">
        <v>62</v>
      </c>
      <c r="B34" s="39"/>
      <c r="C34" s="39"/>
      <c r="D34" s="40" t="s">
        <v>63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50" t="s">
        <v>64</v>
      </c>
      <c r="U34" s="50"/>
      <c r="V34" s="50"/>
      <c r="W34" s="50"/>
      <c r="X34" s="42" t="s">
        <v>50</v>
      </c>
      <c r="Y34" s="42"/>
      <c r="Z34" s="42"/>
      <c r="AA34" s="42"/>
      <c r="AB34" s="42"/>
      <c r="AC34" s="51" t="s">
        <v>65</v>
      </c>
      <c r="AD34" s="51"/>
      <c r="AE34" s="51"/>
      <c r="AF34" s="51"/>
      <c r="AG34" s="51"/>
      <c r="AH34" s="52" t="s">
        <v>52</v>
      </c>
      <c r="AI34" s="52"/>
      <c r="AJ34" s="52"/>
      <c r="AK34" s="52"/>
      <c r="AL34" s="52"/>
      <c r="AM34" s="52" t="n">
        <v>1</v>
      </c>
      <c r="AN34" s="52"/>
      <c r="AO34" s="52"/>
      <c r="AP34" s="52"/>
      <c r="AQ34" s="52"/>
      <c r="AR34" s="52" t="n">
        <v>3</v>
      </c>
      <c r="AS34" s="52"/>
      <c r="AT34" s="52"/>
      <c r="AU34" s="52"/>
      <c r="AV34" s="52"/>
      <c r="AW34" s="52" t="s">
        <v>53</v>
      </c>
      <c r="AX34" s="52"/>
      <c r="AY34" s="52"/>
      <c r="AZ34" s="52"/>
      <c r="BA34" s="52"/>
      <c r="BB34" s="52" t="n">
        <v>3</v>
      </c>
      <c r="BC34" s="52"/>
      <c r="BD34" s="52"/>
      <c r="BE34" s="52"/>
      <c r="BF34" s="52"/>
      <c r="BG34" s="52"/>
      <c r="BH34" s="52" t="n">
        <v>450</v>
      </c>
      <c r="BI34" s="52"/>
      <c r="BJ34" s="52"/>
      <c r="BK34" s="52"/>
      <c r="BL34" s="52"/>
      <c r="BM34" s="52"/>
      <c r="BN34" s="52"/>
      <c r="BO34" s="52"/>
      <c r="BP34" s="52"/>
      <c r="BQ34" s="53" t="n">
        <v>1350</v>
      </c>
      <c r="BR34" s="53"/>
      <c r="BS34" s="53"/>
      <c r="BT34" s="53"/>
      <c r="BU34" s="53"/>
      <c r="BV34" s="53"/>
      <c r="BW34" s="53"/>
      <c r="BX34" s="46" t="n">
        <v>0.22</v>
      </c>
      <c r="BY34" s="46"/>
      <c r="BZ34" s="46"/>
      <c r="CA34" s="46"/>
      <c r="CB34" s="54" t="n">
        <f aca="false">1350*0.22</f>
        <v>297</v>
      </c>
      <c r="CC34" s="54"/>
      <c r="CD34" s="54"/>
      <c r="CE34" s="54"/>
      <c r="CF34" s="54"/>
      <c r="CG34" s="54"/>
      <c r="CH34" s="54"/>
      <c r="CI34" s="53" t="n">
        <f aca="false">CB34+BQ34</f>
        <v>1647</v>
      </c>
      <c r="CJ34" s="53"/>
      <c r="CK34" s="53"/>
      <c r="CL34" s="53"/>
      <c r="CM34" s="53"/>
      <c r="CN34" s="53"/>
      <c r="CO34" s="53"/>
      <c r="CP34" s="53"/>
      <c r="CQ34" s="53"/>
    </row>
    <row r="35" s="49" customFormat="true" ht="12" hidden="false" customHeight="true" outlineLevel="0" collapsed="false">
      <c r="A35" s="39" t="s">
        <v>66</v>
      </c>
      <c r="B35" s="39"/>
      <c r="C35" s="39"/>
      <c r="D35" s="40" t="s">
        <v>67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50" t="s">
        <v>68</v>
      </c>
      <c r="U35" s="50"/>
      <c r="V35" s="50"/>
      <c r="W35" s="50"/>
      <c r="X35" s="42" t="s">
        <v>50</v>
      </c>
      <c r="Y35" s="42"/>
      <c r="Z35" s="42"/>
      <c r="AA35" s="42"/>
      <c r="AB35" s="42"/>
      <c r="AC35" s="51" t="s">
        <v>69</v>
      </c>
      <c r="AD35" s="51"/>
      <c r="AE35" s="51"/>
      <c r="AF35" s="51"/>
      <c r="AG35" s="51"/>
      <c r="AH35" s="52" t="s">
        <v>52</v>
      </c>
      <c r="AI35" s="52"/>
      <c r="AJ35" s="52"/>
      <c r="AK35" s="52"/>
      <c r="AL35" s="52"/>
      <c r="AM35" s="52" t="n">
        <v>6</v>
      </c>
      <c r="AN35" s="52"/>
      <c r="AO35" s="52"/>
      <c r="AP35" s="52"/>
      <c r="AQ35" s="52"/>
      <c r="AR35" s="52" t="n">
        <v>8</v>
      </c>
      <c r="AS35" s="52"/>
      <c r="AT35" s="52"/>
      <c r="AU35" s="52"/>
      <c r="AV35" s="52"/>
      <c r="AW35" s="52" t="s">
        <v>70</v>
      </c>
      <c r="AX35" s="52"/>
      <c r="AY35" s="52"/>
      <c r="AZ35" s="52"/>
      <c r="BA35" s="52"/>
      <c r="BB35" s="52" t="n">
        <v>48</v>
      </c>
      <c r="BC35" s="52"/>
      <c r="BD35" s="52"/>
      <c r="BE35" s="52"/>
      <c r="BF35" s="52"/>
      <c r="BG35" s="52"/>
      <c r="BH35" s="52" t="n">
        <v>100</v>
      </c>
      <c r="BI35" s="52"/>
      <c r="BJ35" s="52"/>
      <c r="BK35" s="52"/>
      <c r="BL35" s="52"/>
      <c r="BM35" s="52"/>
      <c r="BN35" s="52"/>
      <c r="BO35" s="52"/>
      <c r="BP35" s="52"/>
      <c r="BQ35" s="53" t="n">
        <v>4800</v>
      </c>
      <c r="BR35" s="53"/>
      <c r="BS35" s="53"/>
      <c r="BT35" s="53"/>
      <c r="BU35" s="53"/>
      <c r="BV35" s="53"/>
      <c r="BW35" s="53"/>
      <c r="BX35" s="46" t="n">
        <v>0.22</v>
      </c>
      <c r="BY35" s="46"/>
      <c r="BZ35" s="46"/>
      <c r="CA35" s="46"/>
      <c r="CB35" s="54" t="n">
        <f aca="false">4800*0.22</f>
        <v>1056</v>
      </c>
      <c r="CC35" s="54"/>
      <c r="CD35" s="54"/>
      <c r="CE35" s="54"/>
      <c r="CF35" s="54"/>
      <c r="CG35" s="54"/>
      <c r="CH35" s="54"/>
      <c r="CI35" s="53" t="n">
        <f aca="false">CB35+BQ35</f>
        <v>5856</v>
      </c>
      <c r="CJ35" s="53"/>
      <c r="CK35" s="53"/>
      <c r="CL35" s="53"/>
      <c r="CM35" s="53"/>
      <c r="CN35" s="53"/>
      <c r="CO35" s="53"/>
      <c r="CP35" s="53"/>
      <c r="CQ35" s="53"/>
    </row>
    <row r="36" s="14" customFormat="true" ht="12" hidden="false" customHeight="true" outlineLevel="0" collapsed="false">
      <c r="A36" s="55"/>
      <c r="B36" s="55"/>
      <c r="C36" s="55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0"/>
      <c r="U36" s="50"/>
      <c r="V36" s="50"/>
      <c r="W36" s="50"/>
      <c r="X36" s="57"/>
      <c r="Y36" s="57"/>
      <c r="Z36" s="57"/>
      <c r="AA36" s="57"/>
      <c r="AB36" s="57"/>
      <c r="AC36" s="58"/>
      <c r="AD36" s="58"/>
      <c r="AE36" s="58"/>
      <c r="AF36" s="58"/>
      <c r="AG36" s="58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59"/>
      <c r="BR36" s="59"/>
      <c r="BS36" s="59"/>
      <c r="BT36" s="59"/>
      <c r="BU36" s="59"/>
      <c r="BV36" s="59"/>
      <c r="BW36" s="59"/>
      <c r="BX36" s="60"/>
      <c r="BY36" s="60"/>
      <c r="BZ36" s="60"/>
      <c r="CA36" s="60"/>
      <c r="CB36" s="61"/>
      <c r="CC36" s="61"/>
      <c r="CD36" s="61"/>
      <c r="CE36" s="61"/>
      <c r="CF36" s="61"/>
      <c r="CG36" s="61"/>
      <c r="CH36" s="61"/>
      <c r="CI36" s="59"/>
      <c r="CJ36" s="59"/>
      <c r="CK36" s="59"/>
      <c r="CL36" s="59"/>
      <c r="CM36" s="59"/>
      <c r="CN36" s="59"/>
      <c r="CO36" s="59"/>
      <c r="CP36" s="59"/>
      <c r="CQ36" s="59"/>
    </row>
    <row r="37" s="14" customFormat="true" ht="12" hidden="false" customHeight="true" outlineLevel="0" collapsed="false">
      <c r="A37" s="55"/>
      <c r="B37" s="55"/>
      <c r="C37" s="5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0"/>
      <c r="U37" s="50"/>
      <c r="V37" s="50"/>
      <c r="W37" s="50"/>
      <c r="X37" s="57"/>
      <c r="Y37" s="57"/>
      <c r="Z37" s="57"/>
      <c r="AA37" s="57"/>
      <c r="AB37" s="57"/>
      <c r="AC37" s="58"/>
      <c r="AD37" s="58"/>
      <c r="AE37" s="58"/>
      <c r="AF37" s="58"/>
      <c r="AG37" s="58"/>
      <c r="AH37" s="52"/>
      <c r="AI37" s="52"/>
      <c r="AJ37" s="52"/>
      <c r="AK37" s="52"/>
      <c r="AL37" s="52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59"/>
      <c r="BR37" s="59"/>
      <c r="BS37" s="59"/>
      <c r="BT37" s="59"/>
      <c r="BU37" s="59"/>
      <c r="BV37" s="59"/>
      <c r="BW37" s="59"/>
      <c r="BX37" s="60"/>
      <c r="BY37" s="60"/>
      <c r="BZ37" s="60"/>
      <c r="CA37" s="60"/>
      <c r="CB37" s="61"/>
      <c r="CC37" s="61"/>
      <c r="CD37" s="61"/>
      <c r="CE37" s="61"/>
      <c r="CF37" s="61"/>
      <c r="CG37" s="61"/>
      <c r="CH37" s="61"/>
      <c r="CI37" s="59"/>
      <c r="CJ37" s="59"/>
      <c r="CK37" s="59"/>
      <c r="CL37" s="59"/>
      <c r="CM37" s="59"/>
      <c r="CN37" s="59"/>
      <c r="CO37" s="59"/>
      <c r="CP37" s="59"/>
      <c r="CQ37" s="59"/>
    </row>
    <row r="38" s="14" customFormat="true" ht="12" hidden="false" customHeight="true" outlineLevel="0" collapsed="false">
      <c r="A38" s="55"/>
      <c r="B38" s="55"/>
      <c r="C38" s="55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50"/>
      <c r="U38" s="50"/>
      <c r="V38" s="50"/>
      <c r="W38" s="50"/>
      <c r="X38" s="57"/>
      <c r="Y38" s="57"/>
      <c r="Z38" s="57"/>
      <c r="AA38" s="57"/>
      <c r="AB38" s="57"/>
      <c r="AC38" s="58"/>
      <c r="AD38" s="58"/>
      <c r="AE38" s="58"/>
      <c r="AF38" s="58"/>
      <c r="AG38" s="58"/>
      <c r="AH38" s="55"/>
      <c r="AI38" s="55"/>
      <c r="AJ38" s="55"/>
      <c r="AK38" s="55"/>
      <c r="AL38" s="55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59"/>
      <c r="BR38" s="59"/>
      <c r="BS38" s="59"/>
      <c r="BT38" s="59"/>
      <c r="BU38" s="59"/>
      <c r="BV38" s="59"/>
      <c r="BW38" s="59"/>
      <c r="BX38" s="60"/>
      <c r="BY38" s="60"/>
      <c r="BZ38" s="60"/>
      <c r="CA38" s="60"/>
      <c r="CB38" s="61"/>
      <c r="CC38" s="61"/>
      <c r="CD38" s="61"/>
      <c r="CE38" s="61"/>
      <c r="CF38" s="61"/>
      <c r="CG38" s="61"/>
      <c r="CH38" s="61"/>
      <c r="CI38" s="59"/>
      <c r="CJ38" s="59"/>
      <c r="CK38" s="59"/>
      <c r="CL38" s="59"/>
      <c r="CM38" s="59"/>
      <c r="CN38" s="59"/>
      <c r="CO38" s="59"/>
      <c r="CP38" s="59"/>
      <c r="CQ38" s="59"/>
    </row>
    <row r="39" s="14" customFormat="true" ht="12" hidden="false" customHeight="true" outlineLevel="0" collapsed="false">
      <c r="A39" s="55"/>
      <c r="B39" s="55"/>
      <c r="C39" s="55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50"/>
      <c r="U39" s="50"/>
      <c r="V39" s="50"/>
      <c r="W39" s="50"/>
      <c r="X39" s="57"/>
      <c r="Y39" s="57"/>
      <c r="Z39" s="57"/>
      <c r="AA39" s="57"/>
      <c r="AB39" s="57"/>
      <c r="AC39" s="58"/>
      <c r="AD39" s="58"/>
      <c r="AE39" s="58"/>
      <c r="AF39" s="58"/>
      <c r="AG39" s="58"/>
      <c r="AH39" s="52"/>
      <c r="AI39" s="52"/>
      <c r="AJ39" s="52"/>
      <c r="AK39" s="52"/>
      <c r="AL39" s="52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59"/>
      <c r="BR39" s="59"/>
      <c r="BS39" s="59"/>
      <c r="BT39" s="59"/>
      <c r="BU39" s="59"/>
      <c r="BV39" s="59"/>
      <c r="BW39" s="59"/>
      <c r="BX39" s="60"/>
      <c r="BY39" s="60"/>
      <c r="BZ39" s="60"/>
      <c r="CA39" s="60"/>
      <c r="CB39" s="61"/>
      <c r="CC39" s="61"/>
      <c r="CD39" s="61"/>
      <c r="CE39" s="61"/>
      <c r="CF39" s="61"/>
      <c r="CG39" s="61"/>
      <c r="CH39" s="61"/>
      <c r="CI39" s="59"/>
      <c r="CJ39" s="59"/>
      <c r="CK39" s="59"/>
      <c r="CL39" s="59"/>
      <c r="CM39" s="59"/>
      <c r="CN39" s="59"/>
      <c r="CO39" s="59"/>
      <c r="CP39" s="59"/>
      <c r="CQ39" s="59"/>
    </row>
    <row r="40" s="14" customFormat="true" ht="12" hidden="false" customHeight="true" outlineLevel="0" collapsed="false">
      <c r="A40" s="55"/>
      <c r="B40" s="55"/>
      <c r="C40" s="55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50"/>
      <c r="U40" s="50"/>
      <c r="V40" s="50"/>
      <c r="W40" s="50"/>
      <c r="X40" s="57"/>
      <c r="Y40" s="57"/>
      <c r="Z40" s="57"/>
      <c r="AA40" s="57"/>
      <c r="AB40" s="57"/>
      <c r="AC40" s="58"/>
      <c r="AD40" s="58"/>
      <c r="AE40" s="58"/>
      <c r="AF40" s="58"/>
      <c r="AG40" s="58"/>
      <c r="AH40" s="55"/>
      <c r="AI40" s="55"/>
      <c r="AJ40" s="55"/>
      <c r="AK40" s="55"/>
      <c r="AL40" s="55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59"/>
      <c r="BR40" s="59"/>
      <c r="BS40" s="59"/>
      <c r="BT40" s="59"/>
      <c r="BU40" s="59"/>
      <c r="BV40" s="59"/>
      <c r="BW40" s="59"/>
      <c r="BX40" s="60"/>
      <c r="BY40" s="60"/>
      <c r="BZ40" s="60"/>
      <c r="CA40" s="60"/>
      <c r="CB40" s="61"/>
      <c r="CC40" s="61"/>
      <c r="CD40" s="61"/>
      <c r="CE40" s="61"/>
      <c r="CF40" s="61"/>
      <c r="CG40" s="61"/>
      <c r="CH40" s="61"/>
      <c r="CI40" s="59"/>
      <c r="CJ40" s="59"/>
      <c r="CK40" s="59"/>
      <c r="CL40" s="59"/>
      <c r="CM40" s="59"/>
      <c r="CN40" s="59"/>
      <c r="CO40" s="59"/>
      <c r="CP40" s="59"/>
      <c r="CQ40" s="59"/>
    </row>
    <row r="41" s="14" customFormat="true" ht="12.75" hidden="false" customHeight="true" outlineLevel="0" collapsed="false">
      <c r="A41" s="55"/>
      <c r="B41" s="55"/>
      <c r="C41" s="55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3"/>
      <c r="U41" s="63"/>
      <c r="V41" s="63"/>
      <c r="W41" s="63"/>
      <c r="X41" s="57"/>
      <c r="Y41" s="57"/>
      <c r="Z41" s="57"/>
      <c r="AA41" s="57"/>
      <c r="AB41" s="57"/>
      <c r="AC41" s="64"/>
      <c r="AD41" s="64"/>
      <c r="AE41" s="64"/>
      <c r="AF41" s="64"/>
      <c r="AG41" s="64"/>
      <c r="AH41" s="65"/>
      <c r="AI41" s="65"/>
      <c r="AJ41" s="65"/>
      <c r="AK41" s="65"/>
      <c r="AL41" s="65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7"/>
      <c r="BR41" s="67"/>
      <c r="BS41" s="67"/>
      <c r="BT41" s="67"/>
      <c r="BU41" s="67"/>
      <c r="BV41" s="67"/>
      <c r="BW41" s="67"/>
      <c r="BX41" s="60"/>
      <c r="BY41" s="60"/>
      <c r="BZ41" s="60"/>
      <c r="CA41" s="60"/>
      <c r="CB41" s="68"/>
      <c r="CC41" s="68"/>
      <c r="CD41" s="68"/>
      <c r="CE41" s="68"/>
      <c r="CF41" s="68"/>
      <c r="CG41" s="68"/>
      <c r="CH41" s="68"/>
      <c r="CI41" s="67"/>
      <c r="CJ41" s="67"/>
      <c r="CK41" s="67"/>
      <c r="CL41" s="67"/>
      <c r="CM41" s="67"/>
      <c r="CN41" s="67"/>
      <c r="CO41" s="67"/>
      <c r="CP41" s="67"/>
      <c r="CQ41" s="67"/>
    </row>
    <row r="42" s="14" customFormat="true" ht="12.75" hidden="false" customHeight="false" outlineLevel="0" collapsed="false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70" t="s">
        <v>71</v>
      </c>
      <c r="AN42" s="70"/>
      <c r="AO42" s="70"/>
      <c r="AP42" s="70"/>
      <c r="AQ42" s="70"/>
      <c r="AR42" s="71" t="n">
        <f aca="false">SUM(AR31:AV41)</f>
        <v>28</v>
      </c>
      <c r="AS42" s="71"/>
      <c r="AT42" s="71"/>
      <c r="AU42" s="71"/>
      <c r="AV42" s="71"/>
      <c r="AW42" s="71" t="n">
        <f aca="false">SUM(AW31:BA41)</f>
        <v>0</v>
      </c>
      <c r="AX42" s="71"/>
      <c r="AY42" s="71"/>
      <c r="AZ42" s="71"/>
      <c r="BA42" s="71"/>
      <c r="BB42" s="71" t="n">
        <f aca="false">SUM(BB31:BG41)</f>
        <v>145</v>
      </c>
      <c r="BC42" s="71"/>
      <c r="BD42" s="71"/>
      <c r="BE42" s="71"/>
      <c r="BF42" s="71"/>
      <c r="BG42" s="71"/>
      <c r="BH42" s="72" t="s">
        <v>72</v>
      </c>
      <c r="BI42" s="72"/>
      <c r="BJ42" s="72"/>
      <c r="BK42" s="72"/>
      <c r="BL42" s="72"/>
      <c r="BM42" s="72"/>
      <c r="BN42" s="72"/>
      <c r="BO42" s="72"/>
      <c r="BP42" s="72"/>
      <c r="BQ42" s="71" t="n">
        <f aca="false">SUM(BQ31:BW41)</f>
        <v>14150</v>
      </c>
      <c r="BR42" s="71"/>
      <c r="BS42" s="71"/>
      <c r="BT42" s="71"/>
      <c r="BU42" s="71"/>
      <c r="BV42" s="71"/>
      <c r="BW42" s="71"/>
      <c r="BX42" s="36" t="s">
        <v>72</v>
      </c>
      <c r="BY42" s="36"/>
      <c r="BZ42" s="36"/>
      <c r="CA42" s="36"/>
      <c r="CB42" s="71" t="n">
        <f aca="false">SUM(CB31:CH41)</f>
        <v>3113</v>
      </c>
      <c r="CC42" s="71"/>
      <c r="CD42" s="71"/>
      <c r="CE42" s="71"/>
      <c r="CF42" s="71"/>
      <c r="CG42" s="71"/>
      <c r="CH42" s="71"/>
      <c r="CI42" s="72" t="n">
        <f aca="false">SUM(CI31:CQ41)</f>
        <v>17263</v>
      </c>
      <c r="CJ42" s="72"/>
      <c r="CK42" s="72"/>
      <c r="CL42" s="72"/>
      <c r="CM42" s="72"/>
      <c r="CN42" s="72"/>
      <c r="CO42" s="72"/>
      <c r="CP42" s="72"/>
      <c r="CQ42" s="72"/>
    </row>
    <row r="43" s="14" customFormat="true" ht="12.75" hidden="false" customHeight="false" outlineLevel="0" collapsed="false">
      <c r="AQ43" s="5" t="s">
        <v>73</v>
      </c>
      <c r="AR43" s="71" t="n">
        <f aca="false">AR42</f>
        <v>28</v>
      </c>
      <c r="AS43" s="71"/>
      <c r="AT43" s="71"/>
      <c r="AU43" s="71"/>
      <c r="AV43" s="71"/>
      <c r="AW43" s="71" t="n">
        <f aca="false">AW42</f>
        <v>0</v>
      </c>
      <c r="AX43" s="71"/>
      <c r="AY43" s="71"/>
      <c r="AZ43" s="71"/>
      <c r="BA43" s="71"/>
      <c r="BB43" s="71" t="n">
        <f aca="false">BB42</f>
        <v>145</v>
      </c>
      <c r="BC43" s="71"/>
      <c r="BD43" s="71"/>
      <c r="BE43" s="71"/>
      <c r="BF43" s="71"/>
      <c r="BG43" s="71"/>
      <c r="BH43" s="72" t="s">
        <v>72</v>
      </c>
      <c r="BI43" s="72"/>
      <c r="BJ43" s="72"/>
      <c r="BK43" s="72"/>
      <c r="BL43" s="72"/>
      <c r="BM43" s="72"/>
      <c r="BN43" s="72"/>
      <c r="BO43" s="72"/>
      <c r="BP43" s="72"/>
      <c r="BQ43" s="71" t="n">
        <f aca="false">BQ42</f>
        <v>14150</v>
      </c>
      <c r="BR43" s="71"/>
      <c r="BS43" s="71"/>
      <c r="BT43" s="71"/>
      <c r="BU43" s="71"/>
      <c r="BV43" s="71"/>
      <c r="BW43" s="71"/>
      <c r="BX43" s="36" t="s">
        <v>72</v>
      </c>
      <c r="BY43" s="36"/>
      <c r="BZ43" s="36"/>
      <c r="CA43" s="36"/>
      <c r="CB43" s="71" t="n">
        <f aca="false">CB42</f>
        <v>3113</v>
      </c>
      <c r="CC43" s="71"/>
      <c r="CD43" s="71"/>
      <c r="CE43" s="71"/>
      <c r="CF43" s="71"/>
      <c r="CG43" s="71"/>
      <c r="CH43" s="71"/>
      <c r="CI43" s="72" t="n">
        <f aca="false">CI42</f>
        <v>17263</v>
      </c>
      <c r="CJ43" s="72"/>
      <c r="CK43" s="72"/>
      <c r="CL43" s="72"/>
      <c r="CM43" s="72"/>
      <c r="CN43" s="72"/>
      <c r="CO43" s="72"/>
      <c r="CP43" s="72"/>
      <c r="CQ43" s="72"/>
    </row>
    <row r="44" s="14" customFormat="true" ht="12.75" hidden="false" customHeight="false" outlineLevel="0" collapsed="false"/>
    <row r="45" s="73" customFormat="true" ht="12.75" hidden="false" customHeight="false" outlineLevel="0" collapsed="false">
      <c r="D45" s="73" t="s">
        <v>74</v>
      </c>
      <c r="Y45" s="74" t="n">
        <v>1</v>
      </c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3" t="s">
        <v>75</v>
      </c>
    </row>
    <row r="46" s="73" customFormat="true" ht="15" hidden="false" customHeight="true" outlineLevel="0" collapsed="false">
      <c r="D46" s="73" t="s">
        <v>76</v>
      </c>
      <c r="O46" s="74" t="s">
        <v>77</v>
      </c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3" t="s">
        <v>78</v>
      </c>
    </row>
    <row r="47" s="73" customFormat="true" ht="7.5" hidden="false" customHeight="true" outlineLevel="0" collapsed="false">
      <c r="O47" s="9" t="s">
        <v>79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r="48" s="73" customFormat="true" ht="7.5" hidden="false" customHeight="true" outlineLevel="0" collapsed="false"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</row>
    <row r="49" s="73" customFormat="true" ht="7.5" hidden="false" customHeight="true" outlineLevel="0" collapsed="false"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</row>
    <row r="50" s="73" customFormat="true" ht="12.75" hidden="false" customHeight="false" outlineLevel="0" collapsed="false">
      <c r="AC50" s="73" t="s">
        <v>80</v>
      </c>
      <c r="AN50" s="74" t="s">
        <v>81</v>
      </c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</row>
    <row r="51" s="73" customFormat="true" ht="7.5" hidden="false" customHeight="true" outlineLevel="0" collapsed="false">
      <c r="AN51" s="9" t="s">
        <v>79</v>
      </c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7"/>
      <c r="CP51" s="77"/>
      <c r="CQ51" s="77"/>
    </row>
    <row r="52" s="73" customFormat="true" ht="12.75" hidden="false" customHeight="false" outlineLevel="0" collapsed="false">
      <c r="D52" s="73" t="s">
        <v>82</v>
      </c>
      <c r="K52" s="74" t="s">
        <v>77</v>
      </c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8"/>
      <c r="AC52" s="73" t="s">
        <v>83</v>
      </c>
      <c r="AN52" s="74" t="s">
        <v>84</v>
      </c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CA52" s="77"/>
      <c r="CB52" s="77"/>
      <c r="CC52" s="77"/>
      <c r="CD52" s="77"/>
      <c r="CE52" s="77"/>
      <c r="CF52" s="77"/>
      <c r="CG52" s="77"/>
      <c r="CH52" s="77"/>
      <c r="CI52" s="77"/>
      <c r="CJ52" s="77"/>
      <c r="CK52" s="77"/>
      <c r="CL52" s="77"/>
      <c r="CM52" s="77"/>
      <c r="CN52" s="77"/>
      <c r="CO52" s="77"/>
      <c r="CP52" s="77"/>
      <c r="CQ52" s="77"/>
    </row>
    <row r="53" s="73" customFormat="true" ht="7.5" hidden="false" customHeight="true" outlineLevel="0" collapsed="false">
      <c r="K53" s="9" t="s">
        <v>79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75"/>
      <c r="AN53" s="9" t="s">
        <v>79</v>
      </c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</row>
    <row r="54" s="73" customFormat="true" ht="12.75" hidden="false" customHeight="false" outlineLevel="0" collapsed="false"/>
    <row r="55" s="79" customFormat="true" ht="12.75" hidden="false" customHeight="false" outlineLevel="0" collapsed="false">
      <c r="A55" s="79" t="s">
        <v>85</v>
      </c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S55" s="79" t="s">
        <v>75</v>
      </c>
      <c r="AV55" s="81"/>
      <c r="AY55" s="79" t="s">
        <v>86</v>
      </c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X55" s="82" t="s">
        <v>87</v>
      </c>
      <c r="BY55" s="80"/>
      <c r="BZ55" s="80"/>
      <c r="CA55" s="83" t="s">
        <v>88</v>
      </c>
      <c r="CC55" s="84"/>
      <c r="CD55" s="84"/>
      <c r="CE55" s="84"/>
      <c r="CF55" s="84"/>
      <c r="CG55" s="84"/>
      <c r="CH55" s="84"/>
      <c r="CI55" s="84"/>
      <c r="CJ55" s="84"/>
      <c r="CK55" s="83"/>
      <c r="CL55" s="80"/>
      <c r="CM55" s="80"/>
      <c r="CN55" s="80"/>
      <c r="CO55" s="85" t="s">
        <v>89</v>
      </c>
      <c r="CP55" s="85"/>
      <c r="CQ55" s="85"/>
    </row>
    <row r="56" s="79" customFormat="true" ht="7.5" hidden="false" customHeight="true" outlineLevel="0" collapsed="false">
      <c r="X56" s="86" t="s">
        <v>79</v>
      </c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V56" s="81"/>
    </row>
    <row r="57" s="79" customFormat="true" ht="12.75" hidden="false" customHeight="false" outlineLevel="0" collapsed="false">
      <c r="A57" s="79" t="s">
        <v>90</v>
      </c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V57" s="81"/>
      <c r="AY57" s="79" t="s">
        <v>91</v>
      </c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</row>
    <row r="58" s="79" customFormat="true" ht="7.5" hidden="false" customHeight="true" outlineLevel="0" collapsed="false">
      <c r="V58" s="87" t="s">
        <v>79</v>
      </c>
      <c r="AV58" s="81"/>
      <c r="BE58" s="86" t="s">
        <v>92</v>
      </c>
      <c r="BF58" s="86"/>
      <c r="BG58" s="86"/>
      <c r="BH58" s="86"/>
      <c r="BI58" s="86"/>
      <c r="BJ58" s="86"/>
      <c r="BK58" s="86"/>
      <c r="BL58" s="86"/>
      <c r="BM58" s="86"/>
      <c r="BN58" s="86"/>
      <c r="BO58" s="86"/>
      <c r="BP58" s="86"/>
      <c r="BQ58" s="86"/>
      <c r="BR58" s="86"/>
      <c r="BS58" s="86"/>
      <c r="BT58" s="86"/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86"/>
      <c r="CF58" s="86"/>
      <c r="CG58" s="86"/>
      <c r="CH58" s="86"/>
      <c r="CI58" s="86"/>
      <c r="CJ58" s="86"/>
      <c r="CK58" s="86"/>
      <c r="CL58" s="86"/>
      <c r="CM58" s="86"/>
      <c r="CN58" s="86"/>
      <c r="CO58" s="86"/>
      <c r="CP58" s="86"/>
      <c r="CQ58" s="86"/>
    </row>
    <row r="59" s="79" customFormat="true" ht="15.75" hidden="false" customHeight="true" outlineLevel="0" collapsed="false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5" t="s">
        <v>93</v>
      </c>
      <c r="AK59" s="85"/>
      <c r="AL59" s="85"/>
      <c r="AM59" s="84"/>
      <c r="AN59" s="84"/>
      <c r="AO59" s="84"/>
      <c r="AP59" s="84"/>
      <c r="AQ59" s="84"/>
      <c r="AR59" s="84"/>
      <c r="AS59" s="84"/>
      <c r="AT59" s="88" t="s">
        <v>94</v>
      </c>
      <c r="AU59" s="88"/>
      <c r="AV59" s="88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</row>
    <row r="60" s="79" customFormat="true" ht="8.25" hidden="false" customHeight="true" outlineLevel="0" collapsed="false">
      <c r="AV60" s="81"/>
    </row>
    <row r="61" s="79" customFormat="true" ht="12.75" hidden="false" customHeight="false" outlineLevel="0" collapsed="false">
      <c r="A61" s="79" t="s">
        <v>95</v>
      </c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9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9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1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</row>
    <row r="62" s="79" customFormat="true" ht="7.5" hidden="false" customHeight="true" outlineLevel="0" collapsed="false">
      <c r="J62" s="86" t="s">
        <v>96</v>
      </c>
      <c r="K62" s="86"/>
      <c r="L62" s="86"/>
      <c r="M62" s="86"/>
      <c r="N62" s="86"/>
      <c r="O62" s="86"/>
      <c r="P62" s="86"/>
      <c r="Q62" s="86"/>
      <c r="R62" s="86"/>
      <c r="S62" s="86"/>
      <c r="T62" s="86"/>
      <c r="V62" s="86" t="s">
        <v>97</v>
      </c>
      <c r="W62" s="86"/>
      <c r="X62" s="86"/>
      <c r="Y62" s="86"/>
      <c r="Z62" s="86"/>
      <c r="AA62" s="86"/>
      <c r="AB62" s="86"/>
      <c r="AC62" s="86"/>
      <c r="AD62" s="86"/>
      <c r="AE62" s="86"/>
      <c r="AF62" s="90"/>
      <c r="AG62" s="86" t="s">
        <v>98</v>
      </c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1"/>
    </row>
    <row r="63" s="79" customFormat="true" ht="12.75" hidden="false" customHeight="false" outlineLevel="0" collapsed="false">
      <c r="A63" s="79" t="s">
        <v>99</v>
      </c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9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1"/>
      <c r="AY63" s="79" t="s">
        <v>100</v>
      </c>
      <c r="BF63" s="80"/>
      <c r="BG63" s="80"/>
      <c r="BH63" s="80"/>
      <c r="BI63" s="80"/>
      <c r="BJ63" s="80"/>
      <c r="BK63" s="80"/>
      <c r="BL63" s="80"/>
      <c r="BM63" s="80"/>
      <c r="BN63" s="80"/>
      <c r="BO63" s="90"/>
      <c r="BP63" s="80"/>
      <c r="BQ63" s="80"/>
      <c r="BR63" s="80"/>
      <c r="BS63" s="80"/>
      <c r="BT63" s="80"/>
      <c r="BU63" s="80"/>
      <c r="BV63" s="80"/>
      <c r="BW63" s="80"/>
      <c r="BX63" s="9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</row>
    <row r="64" s="79" customFormat="true" ht="7.5" hidden="false" customHeight="true" outlineLevel="0" collapsed="false">
      <c r="V64" s="86" t="s">
        <v>97</v>
      </c>
      <c r="W64" s="86"/>
      <c r="X64" s="86"/>
      <c r="Y64" s="86"/>
      <c r="Z64" s="86"/>
      <c r="AA64" s="86"/>
      <c r="AB64" s="86"/>
      <c r="AC64" s="86"/>
      <c r="AD64" s="86"/>
      <c r="AE64" s="86"/>
      <c r="AG64" s="86" t="s">
        <v>98</v>
      </c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1"/>
      <c r="BF64" s="86" t="s">
        <v>96</v>
      </c>
      <c r="BG64" s="86"/>
      <c r="BH64" s="86"/>
      <c r="BI64" s="86"/>
      <c r="BJ64" s="86"/>
      <c r="BK64" s="86"/>
      <c r="BL64" s="86"/>
      <c r="BM64" s="86"/>
      <c r="BN64" s="86"/>
      <c r="BO64" s="91"/>
      <c r="BP64" s="86" t="s">
        <v>97</v>
      </c>
      <c r="BQ64" s="86"/>
      <c r="BR64" s="86"/>
      <c r="BS64" s="86"/>
      <c r="BT64" s="86"/>
      <c r="BU64" s="86"/>
      <c r="BV64" s="86"/>
      <c r="BW64" s="86"/>
      <c r="BX64" s="91"/>
      <c r="BY64" s="86" t="s">
        <v>98</v>
      </c>
      <c r="BZ64" s="86"/>
      <c r="CA64" s="86"/>
      <c r="CB64" s="86"/>
      <c r="CC64" s="86"/>
      <c r="CD64" s="86"/>
      <c r="CE64" s="86"/>
      <c r="CF64" s="86"/>
      <c r="CG64" s="86"/>
      <c r="CH64" s="86"/>
      <c r="CI64" s="86"/>
      <c r="CJ64" s="86"/>
      <c r="CK64" s="86"/>
      <c r="CL64" s="86"/>
      <c r="CM64" s="86"/>
      <c r="CN64" s="86"/>
      <c r="CO64" s="86"/>
      <c r="CP64" s="86"/>
      <c r="CQ64" s="86"/>
    </row>
    <row r="65" s="79" customFormat="true" ht="14.25" hidden="false" customHeight="true" outlineLevel="0" collapsed="false">
      <c r="A65" s="79" t="s">
        <v>101</v>
      </c>
      <c r="K65" s="92"/>
      <c r="L65" s="80"/>
      <c r="M65" s="80"/>
      <c r="N65" s="80"/>
      <c r="O65" s="80"/>
      <c r="P65" s="80"/>
      <c r="Q65" s="80"/>
      <c r="R65" s="80"/>
      <c r="S65" s="80"/>
      <c r="T65" s="80"/>
      <c r="U65" s="9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90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1"/>
      <c r="AY65" s="79" t="s">
        <v>102</v>
      </c>
      <c r="BO65" s="80"/>
      <c r="BP65" s="80"/>
      <c r="BQ65" s="80"/>
      <c r="BR65" s="80"/>
      <c r="BS65" s="80"/>
      <c r="BT65" s="80"/>
      <c r="BU65" s="80"/>
      <c r="BV65" s="80"/>
      <c r="BW65" s="80"/>
      <c r="BX65" s="90"/>
      <c r="BY65" s="80"/>
      <c r="BZ65" s="80"/>
      <c r="CA65" s="80"/>
      <c r="CB65" s="80"/>
      <c r="CC65" s="80"/>
      <c r="CD65" s="80"/>
      <c r="CE65" s="9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</row>
    <row r="66" s="79" customFormat="true" ht="7.5" hidden="false" customHeight="true" outlineLevel="0" collapsed="false">
      <c r="L66" s="86" t="s">
        <v>96</v>
      </c>
      <c r="M66" s="86"/>
      <c r="N66" s="86"/>
      <c r="O66" s="86"/>
      <c r="P66" s="86"/>
      <c r="Q66" s="86"/>
      <c r="R66" s="86"/>
      <c r="S66" s="86"/>
      <c r="T66" s="86"/>
      <c r="V66" s="86" t="s">
        <v>97</v>
      </c>
      <c r="W66" s="86"/>
      <c r="X66" s="86"/>
      <c r="Y66" s="86"/>
      <c r="Z66" s="86"/>
      <c r="AA66" s="86"/>
      <c r="AB66" s="86"/>
      <c r="AC66" s="86"/>
      <c r="AD66" s="86"/>
      <c r="AE66" s="86"/>
      <c r="AF66" s="90"/>
      <c r="AG66" s="86" t="s">
        <v>98</v>
      </c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1"/>
      <c r="BO66" s="86" t="s">
        <v>96</v>
      </c>
      <c r="BP66" s="86"/>
      <c r="BQ66" s="86"/>
      <c r="BR66" s="86"/>
      <c r="BS66" s="86"/>
      <c r="BT66" s="86"/>
      <c r="BU66" s="86"/>
      <c r="BV66" s="86"/>
      <c r="BW66" s="86"/>
      <c r="BX66" s="91"/>
      <c r="BY66" s="86" t="s">
        <v>97</v>
      </c>
      <c r="BZ66" s="86"/>
      <c r="CA66" s="86"/>
      <c r="CB66" s="86"/>
      <c r="CC66" s="86"/>
      <c r="CD66" s="86"/>
      <c r="CE66" s="91"/>
      <c r="CF66" s="86" t="s">
        <v>98</v>
      </c>
      <c r="CG66" s="86"/>
      <c r="CH66" s="86"/>
      <c r="CI66" s="86"/>
      <c r="CJ66" s="86"/>
      <c r="CK66" s="86"/>
      <c r="CL66" s="86"/>
      <c r="CM66" s="86"/>
      <c r="CN66" s="86"/>
      <c r="CO66" s="86"/>
      <c r="CP66" s="86"/>
      <c r="CQ66" s="86"/>
    </row>
    <row r="67" s="79" customFormat="true" ht="9" hidden="false" customHeight="true" outlineLevel="0" collapsed="false">
      <c r="AV67" s="81"/>
    </row>
    <row r="68" s="79" customFormat="true" ht="12.75" hidden="false" customHeight="false" outlineLevel="0" collapsed="false">
      <c r="G68" s="93" t="s">
        <v>103</v>
      </c>
      <c r="AV68" s="81"/>
      <c r="AY68" s="79" t="s">
        <v>103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11">
    <mergeCell ref="CF5:CQ5"/>
    <mergeCell ref="CF6:CQ6"/>
    <mergeCell ref="A7:BX7"/>
    <mergeCell ref="CF7:CQ7"/>
    <mergeCell ref="A8:BN8"/>
    <mergeCell ref="CF8:CQ9"/>
    <mergeCell ref="A9:CE9"/>
    <mergeCell ref="A10:BN10"/>
    <mergeCell ref="BO10:CD11"/>
    <mergeCell ref="CF10:CQ11"/>
    <mergeCell ref="L12:BX12"/>
    <mergeCell ref="CF12:CQ12"/>
    <mergeCell ref="L13:BX13"/>
    <mergeCell ref="CF13:CQ14"/>
    <mergeCell ref="I14:BX14"/>
    <mergeCell ref="L15:BX15"/>
    <mergeCell ref="CF15:CQ16"/>
    <mergeCell ref="I16:BX16"/>
    <mergeCell ref="L17:BX17"/>
    <mergeCell ref="BY17:CD18"/>
    <mergeCell ref="CF17:CQ18"/>
    <mergeCell ref="I18:BX18"/>
    <mergeCell ref="L19:BX19"/>
    <mergeCell ref="BY19:CD20"/>
    <mergeCell ref="CF19:CQ20"/>
    <mergeCell ref="BY21:CD21"/>
    <mergeCell ref="CF21:CQ21"/>
    <mergeCell ref="BY22:CD22"/>
    <mergeCell ref="CF22:CQ22"/>
    <mergeCell ref="CF23:CQ23"/>
    <mergeCell ref="AX25:BH25"/>
    <mergeCell ref="BI25:BS25"/>
    <mergeCell ref="AX26:BH26"/>
    <mergeCell ref="BI26:BS26"/>
    <mergeCell ref="A28:C29"/>
    <mergeCell ref="D28:W28"/>
    <mergeCell ref="X28:AG28"/>
    <mergeCell ref="AH28:AL29"/>
    <mergeCell ref="AM28:AV28"/>
    <mergeCell ref="AW28:BA29"/>
    <mergeCell ref="BB28:BG29"/>
    <mergeCell ref="BH28:BP29"/>
    <mergeCell ref="BQ28:BW29"/>
    <mergeCell ref="BX28:CH28"/>
    <mergeCell ref="CI28:CQ29"/>
    <mergeCell ref="D29:S29"/>
    <mergeCell ref="T29:W29"/>
    <mergeCell ref="X29:AB29"/>
    <mergeCell ref="AC29:AG29"/>
    <mergeCell ref="AM29:AQ29"/>
    <mergeCell ref="AR29:AV29"/>
    <mergeCell ref="BX29:CA29"/>
    <mergeCell ref="CB29:CH29"/>
    <mergeCell ref="A30:C30"/>
    <mergeCell ref="D30:S30"/>
    <mergeCell ref="T30:W30"/>
    <mergeCell ref="X30:AB30"/>
    <mergeCell ref="AC30:AG30"/>
    <mergeCell ref="AH30:AL30"/>
    <mergeCell ref="AM30:AQ30"/>
    <mergeCell ref="AR30:AV30"/>
    <mergeCell ref="AW30:BA30"/>
    <mergeCell ref="BB30:BG30"/>
    <mergeCell ref="BH30:BP30"/>
    <mergeCell ref="BQ30:BW30"/>
    <mergeCell ref="BX30:CA30"/>
    <mergeCell ref="CB30:CH30"/>
    <mergeCell ref="CI30:CQ30"/>
    <mergeCell ref="A31:C31"/>
    <mergeCell ref="D31:S31"/>
    <mergeCell ref="T31:W31"/>
    <mergeCell ref="X31:AB31"/>
    <mergeCell ref="AC31:AG31"/>
    <mergeCell ref="AH31:AL31"/>
    <mergeCell ref="AM31:AQ31"/>
    <mergeCell ref="AR31:AV31"/>
    <mergeCell ref="AW31:BA31"/>
    <mergeCell ref="BB31:BG31"/>
    <mergeCell ref="BH31:BP31"/>
    <mergeCell ref="BQ31:BW31"/>
    <mergeCell ref="BX31:CA31"/>
    <mergeCell ref="CB31:CH31"/>
    <mergeCell ref="CI31:CQ31"/>
    <mergeCell ref="A32:C32"/>
    <mergeCell ref="D32:S32"/>
    <mergeCell ref="T32:W32"/>
    <mergeCell ref="X32:AB32"/>
    <mergeCell ref="AC32:AG32"/>
    <mergeCell ref="AH32:AL32"/>
    <mergeCell ref="AM32:AQ32"/>
    <mergeCell ref="AR32:AV32"/>
    <mergeCell ref="AW32:BA32"/>
    <mergeCell ref="BB32:BG32"/>
    <mergeCell ref="BH32:BP32"/>
    <mergeCell ref="BQ32:BW32"/>
    <mergeCell ref="BX32:CA32"/>
    <mergeCell ref="CB32:CH32"/>
    <mergeCell ref="CI32:CQ32"/>
    <mergeCell ref="A33:C33"/>
    <mergeCell ref="D33:S33"/>
    <mergeCell ref="T33:W33"/>
    <mergeCell ref="X33:AB33"/>
    <mergeCell ref="AC33:AG33"/>
    <mergeCell ref="AH33:AL33"/>
    <mergeCell ref="AM33:AQ33"/>
    <mergeCell ref="AR33:AV33"/>
    <mergeCell ref="AW33:BA33"/>
    <mergeCell ref="BB33:BG33"/>
    <mergeCell ref="BH33:BP33"/>
    <mergeCell ref="BQ33:BW33"/>
    <mergeCell ref="BX33:CA33"/>
    <mergeCell ref="CB33:CH33"/>
    <mergeCell ref="CI33:CQ33"/>
    <mergeCell ref="A34:C34"/>
    <mergeCell ref="D34:S34"/>
    <mergeCell ref="T34:W34"/>
    <mergeCell ref="X34:AB34"/>
    <mergeCell ref="AC34:AG34"/>
    <mergeCell ref="AH34:AL34"/>
    <mergeCell ref="AM34:AQ34"/>
    <mergeCell ref="AR34:AV34"/>
    <mergeCell ref="AW34:BA34"/>
    <mergeCell ref="BB34:BG34"/>
    <mergeCell ref="BH34:BP34"/>
    <mergeCell ref="BQ34:BW34"/>
    <mergeCell ref="BX34:CA34"/>
    <mergeCell ref="CB34:CH34"/>
    <mergeCell ref="CI34:CQ34"/>
    <mergeCell ref="A35:C35"/>
    <mergeCell ref="D35:S35"/>
    <mergeCell ref="T35:W35"/>
    <mergeCell ref="X35:AB35"/>
    <mergeCell ref="AC35:AG35"/>
    <mergeCell ref="AH35:AL35"/>
    <mergeCell ref="AM35:AQ35"/>
    <mergeCell ref="AR35:AV35"/>
    <mergeCell ref="AW35:BA35"/>
    <mergeCell ref="BB35:BG35"/>
    <mergeCell ref="BH35:BP35"/>
    <mergeCell ref="BQ35:BW35"/>
    <mergeCell ref="BX35:CA35"/>
    <mergeCell ref="CB35:CH35"/>
    <mergeCell ref="CI35:CQ35"/>
    <mergeCell ref="A36:C36"/>
    <mergeCell ref="D36:S36"/>
    <mergeCell ref="T36:W36"/>
    <mergeCell ref="X36:AB36"/>
    <mergeCell ref="AC36:AG36"/>
    <mergeCell ref="AH36:AL36"/>
    <mergeCell ref="AM36:AQ36"/>
    <mergeCell ref="AR36:AV36"/>
    <mergeCell ref="AW36:BA36"/>
    <mergeCell ref="BB36:BG36"/>
    <mergeCell ref="BH36:BP36"/>
    <mergeCell ref="BQ36:BW36"/>
    <mergeCell ref="BX36:CA36"/>
    <mergeCell ref="CB36:CH36"/>
    <mergeCell ref="CI36:CQ36"/>
    <mergeCell ref="A37:C37"/>
    <mergeCell ref="D37:S37"/>
    <mergeCell ref="T37:W37"/>
    <mergeCell ref="X37:AB37"/>
    <mergeCell ref="AC37:AG37"/>
    <mergeCell ref="AH37:AL37"/>
    <mergeCell ref="AM37:AQ37"/>
    <mergeCell ref="AR37:AV37"/>
    <mergeCell ref="AW37:BA37"/>
    <mergeCell ref="BB37:BG37"/>
    <mergeCell ref="BH37:BP37"/>
    <mergeCell ref="BQ37:BW37"/>
    <mergeCell ref="BX37:CA37"/>
    <mergeCell ref="CB37:CH37"/>
    <mergeCell ref="CI37:CQ37"/>
    <mergeCell ref="A38:C38"/>
    <mergeCell ref="D38:S38"/>
    <mergeCell ref="T38:W38"/>
    <mergeCell ref="X38:AB38"/>
    <mergeCell ref="AC38:AG38"/>
    <mergeCell ref="AH38:AL38"/>
    <mergeCell ref="AM38:AQ38"/>
    <mergeCell ref="AR38:AV38"/>
    <mergeCell ref="AW38:BA38"/>
    <mergeCell ref="BB38:BG38"/>
    <mergeCell ref="BH38:BP38"/>
    <mergeCell ref="BQ38:BW38"/>
    <mergeCell ref="BX38:CA38"/>
    <mergeCell ref="CB38:CH38"/>
    <mergeCell ref="CI38:CQ38"/>
    <mergeCell ref="A39:C39"/>
    <mergeCell ref="D39:S39"/>
    <mergeCell ref="T39:W39"/>
    <mergeCell ref="X39:AB39"/>
    <mergeCell ref="AC39:AG39"/>
    <mergeCell ref="AH39:AL39"/>
    <mergeCell ref="AM39:AQ39"/>
    <mergeCell ref="AR39:AV39"/>
    <mergeCell ref="AW39:BA39"/>
    <mergeCell ref="BB39:BG39"/>
    <mergeCell ref="BH39:BP39"/>
    <mergeCell ref="BQ39:BW39"/>
    <mergeCell ref="BX39:CA39"/>
    <mergeCell ref="CB39:CH39"/>
    <mergeCell ref="CI39:CQ39"/>
    <mergeCell ref="A40:C40"/>
    <mergeCell ref="D40:S40"/>
    <mergeCell ref="T40:W40"/>
    <mergeCell ref="X40:AB40"/>
    <mergeCell ref="AC40:AG40"/>
    <mergeCell ref="AH40:AL40"/>
    <mergeCell ref="AM40:AQ40"/>
    <mergeCell ref="AR40:AV40"/>
    <mergeCell ref="AW40:BA40"/>
    <mergeCell ref="BB40:BG40"/>
    <mergeCell ref="BH40:BP40"/>
    <mergeCell ref="BQ40:BW40"/>
    <mergeCell ref="BX40:CA40"/>
    <mergeCell ref="CB40:CH40"/>
    <mergeCell ref="CI40:CQ40"/>
    <mergeCell ref="A41:C41"/>
    <mergeCell ref="D41:S41"/>
    <mergeCell ref="T41:W41"/>
    <mergeCell ref="X41:AB41"/>
    <mergeCell ref="AC41:AG41"/>
    <mergeCell ref="AH41:AL41"/>
    <mergeCell ref="AM41:AQ41"/>
    <mergeCell ref="AR41:AV41"/>
    <mergeCell ref="AW41:BA41"/>
    <mergeCell ref="BB41:BG41"/>
    <mergeCell ref="BH41:BP41"/>
    <mergeCell ref="BQ41:BW41"/>
    <mergeCell ref="BX41:CA41"/>
    <mergeCell ref="CB41:CH41"/>
    <mergeCell ref="CI41:CQ41"/>
    <mergeCell ref="A42:C42"/>
    <mergeCell ref="D42:S42"/>
    <mergeCell ref="T42:W42"/>
    <mergeCell ref="X42:AB42"/>
    <mergeCell ref="AC42:AG42"/>
    <mergeCell ref="AH42:AL42"/>
    <mergeCell ref="AM42:AQ42"/>
    <mergeCell ref="AR42:AV42"/>
    <mergeCell ref="AW42:BA42"/>
    <mergeCell ref="BB42:BG42"/>
    <mergeCell ref="BH42:BP42"/>
    <mergeCell ref="BQ42:BW42"/>
    <mergeCell ref="BX42:CA42"/>
    <mergeCell ref="CB42:CH42"/>
    <mergeCell ref="CI42:CQ42"/>
    <mergeCell ref="AR43:AV43"/>
    <mergeCell ref="AW43:BA43"/>
    <mergeCell ref="BB43:BG43"/>
    <mergeCell ref="BH43:BP43"/>
    <mergeCell ref="BQ43:BW43"/>
    <mergeCell ref="BX43:CA43"/>
    <mergeCell ref="CB43:CH43"/>
    <mergeCell ref="CI43:CQ43"/>
    <mergeCell ref="Y45:BN45"/>
    <mergeCell ref="O46:BN46"/>
    <mergeCell ref="O47:BN47"/>
    <mergeCell ref="CA49:CQ50"/>
    <mergeCell ref="AN50:BY50"/>
    <mergeCell ref="AN51:BY51"/>
    <mergeCell ref="CA51:CQ52"/>
    <mergeCell ref="K52:AA52"/>
    <mergeCell ref="AN52:BY52"/>
    <mergeCell ref="K53:AA53"/>
    <mergeCell ref="AN53:BY53"/>
    <mergeCell ref="X55:AQ55"/>
    <mergeCell ref="BI55:BU55"/>
    <mergeCell ref="BY55:BZ55"/>
    <mergeCell ref="CC55:CJ55"/>
    <mergeCell ref="CL55:CN55"/>
    <mergeCell ref="CO55:CQ55"/>
    <mergeCell ref="X56:AQ56"/>
    <mergeCell ref="N57:AS57"/>
    <mergeCell ref="BE57:CQ57"/>
    <mergeCell ref="BE58:CQ58"/>
    <mergeCell ref="A59:AI59"/>
    <mergeCell ref="AJ59:AL59"/>
    <mergeCell ref="AM59:AS59"/>
    <mergeCell ref="AT59:AV59"/>
    <mergeCell ref="AX59:CQ59"/>
    <mergeCell ref="J61:T61"/>
    <mergeCell ref="V61:AE61"/>
    <mergeCell ref="AG61:AU61"/>
    <mergeCell ref="AX61:CQ61"/>
    <mergeCell ref="J62:T62"/>
    <mergeCell ref="V62:AE62"/>
    <mergeCell ref="AG62:AU62"/>
    <mergeCell ref="V63:AE63"/>
    <mergeCell ref="AG63:AU63"/>
    <mergeCell ref="BF63:BN63"/>
    <mergeCell ref="BP63:BW63"/>
    <mergeCell ref="BY63:CQ63"/>
    <mergeCell ref="V64:AE64"/>
    <mergeCell ref="AG64:AU64"/>
    <mergeCell ref="BF64:BN64"/>
    <mergeCell ref="BP64:BW64"/>
    <mergeCell ref="BY64:CQ64"/>
    <mergeCell ref="L65:T65"/>
    <mergeCell ref="V65:AE65"/>
    <mergeCell ref="AG65:AU65"/>
    <mergeCell ref="BO65:BW65"/>
    <mergeCell ref="BY65:CD65"/>
    <mergeCell ref="CF65:CQ65"/>
    <mergeCell ref="L66:T66"/>
    <mergeCell ref="V66:AE66"/>
    <mergeCell ref="AG66:AU66"/>
    <mergeCell ref="BO66:BW66"/>
    <mergeCell ref="BY66:CD66"/>
    <mergeCell ref="CF66:CQ66"/>
  </mergeCells>
  <printOptions headings="false" gridLines="false" gridLinesSet="true" horizontalCentered="false" verticalCentered="false"/>
  <pageMargins left="0.629861111111111" right="0.39375" top="0.551388888888889" bottom="0.275694444444444" header="0.511811023622047" footer="0.511811023622047"/>
  <pageSetup paperSize="9" scale="9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2001-08-17T11:22:05Z</dcterms:created>
  <dc:creator>Гайсин Азза Малик</dc:creator>
  <dc:description/>
  <dc:language>ru-RU</dc:language>
  <cp:lastModifiedBy/>
  <cp:lastPrinted>2012-07-26T07:15:16Z</cp:lastPrinted>
  <dcterms:modified xsi:type="dcterms:W3CDTF">2026-07-07T01:15:22Z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